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ossible magic" sheetId="2" r:id="rId6"/>
  </sheets>
  <definedNames/>
  <calcPr/>
</workbook>
</file>

<file path=xl/sharedStrings.xml><?xml version="1.0" encoding="utf-8"?>
<sst xmlns="http://schemas.openxmlformats.org/spreadsheetml/2006/main" count="173" uniqueCount="122">
  <si>
    <t>Strength</t>
  </si>
  <si>
    <t>Dexterity</t>
  </si>
  <si>
    <t>Constitution</t>
  </si>
  <si>
    <t>Perception</t>
  </si>
  <si>
    <t>Arcane</t>
  </si>
  <si>
    <t>Will</t>
  </si>
  <si>
    <t>Level</t>
  </si>
  <si>
    <t>Lifting</t>
  </si>
  <si>
    <t>Acrobatics</t>
  </si>
  <si>
    <t>Health</t>
  </si>
  <si>
    <t>Sight distance</t>
  </si>
  <si>
    <t>Mana</t>
  </si>
  <si>
    <t>charisma</t>
  </si>
  <si>
    <t>Level Reduction</t>
  </si>
  <si>
    <t>15% reduction</t>
  </si>
  <si>
    <t>Carry weight</t>
  </si>
  <si>
    <t>Stamina</t>
  </si>
  <si>
    <t>Endurance</t>
  </si>
  <si>
    <t>Intuition</t>
  </si>
  <si>
    <t>control</t>
  </si>
  <si>
    <t>mental fortitude</t>
  </si>
  <si>
    <t>Reaction time</t>
  </si>
  <si>
    <t>Pain Tolerance</t>
  </si>
  <si>
    <t>Registration</t>
  </si>
  <si>
    <t>sensitivity</t>
  </si>
  <si>
    <t>courage</t>
  </si>
  <si>
    <t>DEPRECATED</t>
  </si>
  <si>
    <t>FORMULA</t>
  </si>
  <si>
    <t>TIER BASED</t>
  </si>
  <si>
    <t>RCTN TIME THRESHOLDS</t>
  </si>
  <si>
    <t>MOVEMENT THRESHOLDS</t>
  </si>
  <si>
    <t>Amount of Reactions =</t>
  </si>
  <si>
    <t>Registration +</t>
  </si>
  <si>
    <t>Reaction time =</t>
  </si>
  <si>
    <t>Stamina +</t>
  </si>
  <si>
    <t>STAT</t>
  </si>
  <si>
    <t>VALUE</t>
  </si>
  <si>
    <t>SUBSTAT</t>
  </si>
  <si>
    <t>RCTN TIME</t>
  </si>
  <si>
    <t>ACTIONS</t>
  </si>
  <si>
    <t>Race</t>
  </si>
  <si>
    <t>Health Modifier</t>
  </si>
  <si>
    <t>DEXTERITY</t>
  </si>
  <si>
    <t>Lifting =</t>
  </si>
  <si>
    <t xml:space="preserve">Lifting </t>
  </si>
  <si>
    <t>Human</t>
  </si>
  <si>
    <t>Carry weight =</t>
  </si>
  <si>
    <t>Demon</t>
  </si>
  <si>
    <t xml:space="preserve">Acrobatics = </t>
  </si>
  <si>
    <t>Dexterity +</t>
  </si>
  <si>
    <t>/ 2</t>
  </si>
  <si>
    <t>Stamina =</t>
  </si>
  <si>
    <t>Health =</t>
  </si>
  <si>
    <t xml:space="preserve">Constitution </t>
  </si>
  <si>
    <t>Endurance =</t>
  </si>
  <si>
    <t>Pain Tolerance =</t>
  </si>
  <si>
    <t>Endurance +</t>
  </si>
  <si>
    <t xml:space="preserve">Sight Distance = </t>
  </si>
  <si>
    <t>80% sword prof</t>
  </si>
  <si>
    <t xml:space="preserve">Sight Distance </t>
  </si>
  <si>
    <t>Intuition =</t>
  </si>
  <si>
    <t>Perception +</t>
  </si>
  <si>
    <t>registration</t>
  </si>
  <si>
    <t>Registration =</t>
  </si>
  <si>
    <t xml:space="preserve"> Mana =</t>
  </si>
  <si>
    <t xml:space="preserve"> Mana</t>
  </si>
  <si>
    <t>Control =</t>
  </si>
  <si>
    <t>Arcane +</t>
  </si>
  <si>
    <t>Weapon:</t>
  </si>
  <si>
    <t>Control</t>
  </si>
  <si>
    <t>Sensitivity =</t>
  </si>
  <si>
    <t>Intuition +</t>
  </si>
  <si>
    <t>sword 10</t>
  </si>
  <si>
    <t>Sensitivity</t>
  </si>
  <si>
    <t>Charisma =</t>
  </si>
  <si>
    <t xml:space="preserve">Charisma </t>
  </si>
  <si>
    <t>Mental fortitude =</t>
  </si>
  <si>
    <t>Will +</t>
  </si>
  <si>
    <t>Charisma</t>
  </si>
  <si>
    <t>Mental fortitude</t>
  </si>
  <si>
    <t>Courage =</t>
  </si>
  <si>
    <t>mental fortitude +</t>
  </si>
  <si>
    <t>Courage</t>
  </si>
  <si>
    <t>DMG REDUC. THRESHOLDS</t>
  </si>
  <si>
    <t>Reactions</t>
  </si>
  <si>
    <t>ENDURANCE</t>
  </si>
  <si>
    <t>Source</t>
  </si>
  <si>
    <t>Percentage 
Reduction</t>
  </si>
  <si>
    <t>TODO(figure out)</t>
  </si>
  <si>
    <t>Movement Distance</t>
  </si>
  <si>
    <t>Armor</t>
  </si>
  <si>
    <t>Action Points( How Many Actions per turn)</t>
  </si>
  <si>
    <t>Level Damage Reduction(scale)</t>
  </si>
  <si>
    <t>Total</t>
  </si>
  <si>
    <t>Magic System</t>
  </si>
  <si>
    <t>Skills</t>
  </si>
  <si>
    <t>Disadvantage Contest(Block, Dodge Parry) Rolls</t>
  </si>
  <si>
    <t>Attack</t>
  </si>
  <si>
    <t>Dodge add movement? Does that movement proc attack of opportunity?</t>
  </si>
  <si>
    <t>(1 + Proficiency) * (d100/100) * weapon_stat_type</t>
  </si>
  <si>
    <t>(1+.8) * (d100/100) * 70</t>
  </si>
  <si>
    <t>Parry Attempt</t>
  </si>
  <si>
    <t>Weapon Proficiency Modifier * (1d100/100) * Dexterity</t>
  </si>
  <si>
    <t>.8 * (d100/100) * 55</t>
  </si>
  <si>
    <t>Dodge Attempt</t>
  </si>
  <si>
    <t>Dexterity * (1d100/100)</t>
  </si>
  <si>
    <t>How Combat Works</t>
  </si>
  <si>
    <t>55 * (d100/100)</t>
  </si>
  <si>
    <t>Steps</t>
  </si>
  <si>
    <t>What to do</t>
  </si>
  <si>
    <t>Attacker states He's going to attack 2</t>
  </si>
  <si>
    <t>Block Attempt</t>
  </si>
  <si>
    <t>Victim Decides whether to spend action points to defend attack</t>
  </si>
  <si>
    <t>Strength * (1d100/100)</t>
  </si>
  <si>
    <t>Victim Rolls Dodge, Block, Parry or None</t>
  </si>
  <si>
    <t>70 * (d100/100)</t>
  </si>
  <si>
    <t>Attacker performs a contest to the contest role</t>
  </si>
  <si>
    <t>If attack suceeds roll damage</t>
  </si>
  <si>
    <t>Contest Contest Roll( Counter Block, Dodge, Parry)</t>
  </si>
  <si>
    <t>Weapon Proficiency Modifier * (1d100/100) * weapon_stat_type</t>
  </si>
  <si>
    <t>0.8 * (d100/100) * 70</t>
  </si>
  <si>
    <t>NON LISTED = DND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</si>
</sst>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FFFFFF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0" fillId="2" fontId="3" numFmtId="0" xfId="0" applyAlignment="1" applyFont="1">
      <alignment readingOrder="0"/>
    </xf>
    <xf borderId="0" fillId="4" fontId="1" numFmtId="0" xfId="0" applyAlignment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5" fontId="2" numFmtId="0" xfId="0" applyAlignment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7" fontId="2" numFmtId="0" xfId="0" applyAlignment="1" applyFont="1">
      <alignment horizontal="center" readingOrder="0"/>
    </xf>
    <xf borderId="0" fillId="8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9" fontId="2" numFmtId="0" xfId="0" applyAlignment="1" applyFont="1">
      <alignment horizontal="center" readingOrder="0"/>
    </xf>
    <xf borderId="0" fillId="2" fontId="4" numFmtId="0" xfId="0" applyAlignment="1" applyFont="1">
      <alignment vertical="bottom"/>
    </xf>
    <xf borderId="0" fillId="0" fontId="2" numFmtId="9" xfId="0" applyAlignment="1" applyFont="1" applyNumberForma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  <c r="I1" s="2">
        <v>50.0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H2" s="2" t="s">
        <v>13</v>
      </c>
      <c r="I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</row>
    <row r="4"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</row>
    <row r="6">
      <c r="N6" s="3" t="s">
        <v>26</v>
      </c>
    </row>
    <row r="7">
      <c r="N7" s="4" t="s">
        <v>27</v>
      </c>
      <c r="Q7" s="5" t="s">
        <v>28</v>
      </c>
      <c r="W7" s="5" t="s">
        <v>28</v>
      </c>
    </row>
    <row r="8">
      <c r="N8" s="4" t="s">
        <v>29</v>
      </c>
      <c r="Q8" s="5" t="s">
        <v>29</v>
      </c>
      <c r="W8" s="5" t="s">
        <v>30</v>
      </c>
    </row>
    <row r="9">
      <c r="A9" s="6" t="s">
        <v>31</v>
      </c>
      <c r="B9" s="2" t="s">
        <v>32</v>
      </c>
      <c r="C9" s="2" t="s">
        <v>33</v>
      </c>
      <c r="D9" s="2" t="s">
        <v>34</v>
      </c>
      <c r="E9" s="2" t="s">
        <v>18</v>
      </c>
      <c r="H9" s="3" t="s">
        <v>35</v>
      </c>
      <c r="I9" s="3" t="s">
        <v>36</v>
      </c>
      <c r="J9" s="7"/>
      <c r="K9" s="3" t="s">
        <v>37</v>
      </c>
      <c r="L9" s="3" t="s">
        <v>36</v>
      </c>
      <c r="N9" s="3" t="s">
        <v>38</v>
      </c>
      <c r="O9" s="3" t="s">
        <v>39</v>
      </c>
      <c r="Q9" s="3" t="s">
        <v>38</v>
      </c>
      <c r="R9" s="3" t="s">
        <v>39</v>
      </c>
      <c r="T9" s="8" t="s">
        <v>40</v>
      </c>
      <c r="U9" s="8" t="s">
        <v>41</v>
      </c>
      <c r="W9" s="3" t="s">
        <v>42</v>
      </c>
      <c r="X9" s="3" t="s">
        <v>39</v>
      </c>
    </row>
    <row r="10">
      <c r="A10" s="2" t="s">
        <v>43</v>
      </c>
      <c r="B10" s="2" t="s">
        <v>0</v>
      </c>
      <c r="H10" s="9" t="s">
        <v>0</v>
      </c>
      <c r="I10" s="5">
        <v>70.0</v>
      </c>
      <c r="K10" s="10" t="s">
        <v>44</v>
      </c>
      <c r="L10" s="7">
        <f>FLOOR(I10,1)</f>
        <v>70</v>
      </c>
      <c r="N10" s="4">
        <v>0.0</v>
      </c>
      <c r="O10" s="11">
        <f t="shared" ref="O10:O24" si="1">MAX(1, MIN(15, FLOOR(N10 / (400 / (15 - 1)),1) + 1))</f>
        <v>1</v>
      </c>
      <c r="Q10" s="2">
        <v>0.0</v>
      </c>
      <c r="R10" s="2">
        <v>1.0</v>
      </c>
      <c r="T10" s="2" t="s">
        <v>45</v>
      </c>
      <c r="U10" s="2">
        <v>10.0</v>
      </c>
      <c r="W10" s="2">
        <v>0.0</v>
      </c>
      <c r="X10" s="2">
        <v>10.0</v>
      </c>
    </row>
    <row r="11">
      <c r="A11" s="2" t="s">
        <v>46</v>
      </c>
      <c r="B11" s="2" t="s">
        <v>0</v>
      </c>
      <c r="H11" s="12" t="s">
        <v>1</v>
      </c>
      <c r="I11" s="5">
        <v>55.0</v>
      </c>
      <c r="K11" s="10" t="s">
        <v>15</v>
      </c>
      <c r="L11" s="7">
        <f>FLOOR(I10,1)</f>
        <v>70</v>
      </c>
      <c r="N11" s="4">
        <v>29.0</v>
      </c>
      <c r="O11" s="11">
        <f t="shared" si="1"/>
        <v>2</v>
      </c>
      <c r="Q11" s="2">
        <v>20.0</v>
      </c>
      <c r="R11" s="2">
        <v>2.0</v>
      </c>
      <c r="T11" s="2" t="s">
        <v>47</v>
      </c>
      <c r="U11" s="2">
        <v>100.0</v>
      </c>
      <c r="W11" s="2">
        <v>20.0</v>
      </c>
      <c r="X11" s="2">
        <v>20.0</v>
      </c>
    </row>
    <row r="12">
      <c r="A12" s="2" t="s">
        <v>48</v>
      </c>
      <c r="B12" s="2" t="s">
        <v>49</v>
      </c>
      <c r="C12" s="2" t="s">
        <v>23</v>
      </c>
      <c r="D12" s="2" t="s">
        <v>50</v>
      </c>
      <c r="H12" s="13" t="s">
        <v>2</v>
      </c>
      <c r="I12" s="5">
        <v>65.0</v>
      </c>
      <c r="K12" s="14" t="s">
        <v>8</v>
      </c>
      <c r="L12" s="7">
        <f>FLOOR((I11+L20)*0.5,1)</f>
        <v>61</v>
      </c>
      <c r="N12" s="4">
        <v>58.0</v>
      </c>
      <c r="O12" s="11">
        <f t="shared" si="1"/>
        <v>3</v>
      </c>
      <c r="Q12" s="2">
        <v>40.0</v>
      </c>
      <c r="R12" s="2">
        <v>3.0</v>
      </c>
      <c r="W12" s="2">
        <v>40.0</v>
      </c>
      <c r="X12" s="2">
        <v>30.0</v>
      </c>
    </row>
    <row r="13">
      <c r="A13" s="2" t="s">
        <v>51</v>
      </c>
      <c r="B13" s="2" t="s">
        <v>1</v>
      </c>
      <c r="H13" s="15" t="s">
        <v>3</v>
      </c>
      <c r="I13" s="5">
        <v>68.0</v>
      </c>
      <c r="K13" s="14" t="s">
        <v>16</v>
      </c>
      <c r="L13" s="7">
        <f>FLOOR(I11,1)</f>
        <v>55</v>
      </c>
      <c r="N13" s="4">
        <v>86.0</v>
      </c>
      <c r="O13" s="11">
        <f t="shared" si="1"/>
        <v>4</v>
      </c>
      <c r="Q13" s="2">
        <v>60.0</v>
      </c>
      <c r="R13" s="2">
        <v>4.0</v>
      </c>
      <c r="W13" s="2">
        <v>60.0</v>
      </c>
      <c r="X13" s="2">
        <v>40.0</v>
      </c>
    </row>
    <row r="14">
      <c r="A14" s="2" t="s">
        <v>33</v>
      </c>
      <c r="B14" s="2" t="s">
        <v>34</v>
      </c>
      <c r="C14" s="2" t="s">
        <v>18</v>
      </c>
      <c r="D14" s="2" t="s">
        <v>50</v>
      </c>
      <c r="H14" s="16" t="s">
        <v>4</v>
      </c>
      <c r="I14" s="5">
        <v>0.0</v>
      </c>
      <c r="K14" s="14" t="s">
        <v>21</v>
      </c>
      <c r="L14" s="7">
        <f>FLOOR((L13+L19)*0.5,1)</f>
        <v>61</v>
      </c>
      <c r="N14" s="4">
        <v>115.0</v>
      </c>
      <c r="O14" s="11">
        <f t="shared" si="1"/>
        <v>5</v>
      </c>
      <c r="Q14" s="2">
        <v>80.0</v>
      </c>
      <c r="R14" s="2">
        <v>5.0</v>
      </c>
      <c r="W14" s="2">
        <v>80.0</v>
      </c>
      <c r="X14" s="2">
        <v>50.0</v>
      </c>
    </row>
    <row r="15">
      <c r="A15" s="2" t="s">
        <v>52</v>
      </c>
      <c r="B15" s="2" t="s">
        <v>53</v>
      </c>
      <c r="H15" s="17" t="s">
        <v>5</v>
      </c>
      <c r="I15" s="5">
        <v>76.0</v>
      </c>
      <c r="K15" s="18" t="s">
        <v>9</v>
      </c>
      <c r="L15" s="7">
        <f>FLOOR(I12,1)</f>
        <v>65</v>
      </c>
      <c r="N15" s="4">
        <v>143.0</v>
      </c>
      <c r="O15" s="11">
        <f t="shared" si="1"/>
        <v>6</v>
      </c>
      <c r="Q15" s="2">
        <v>100.0</v>
      </c>
      <c r="R15" s="2">
        <v>8.0</v>
      </c>
      <c r="W15" s="2">
        <v>100.0</v>
      </c>
      <c r="X15" s="2">
        <v>100.0</v>
      </c>
    </row>
    <row r="16">
      <c r="A16" s="2" t="s">
        <v>54</v>
      </c>
      <c r="B16" s="2" t="s">
        <v>34</v>
      </c>
      <c r="C16" s="2" t="s">
        <v>2</v>
      </c>
      <c r="D16" s="2" t="s">
        <v>50</v>
      </c>
      <c r="K16" s="18" t="s">
        <v>17</v>
      </c>
      <c r="L16" s="7">
        <f>FLOOR((L13+I12)*0.5,1)</f>
        <v>60</v>
      </c>
      <c r="N16" s="4">
        <v>172.0</v>
      </c>
      <c r="O16" s="11">
        <f t="shared" si="1"/>
        <v>7</v>
      </c>
      <c r="Q16" s="2">
        <v>130.0</v>
      </c>
      <c r="R16" s="2">
        <v>9.0</v>
      </c>
      <c r="W16" s="2">
        <v>130.0</v>
      </c>
      <c r="X16" s="2">
        <v>120.0</v>
      </c>
    </row>
    <row r="17">
      <c r="A17" s="2" t="s">
        <v>55</v>
      </c>
      <c r="B17" s="2" t="s">
        <v>56</v>
      </c>
      <c r="C17" s="2" t="s">
        <v>0</v>
      </c>
      <c r="D17" s="2" t="s">
        <v>50</v>
      </c>
      <c r="K17" s="18" t="s">
        <v>22</v>
      </c>
      <c r="L17" s="7">
        <f>FLOOR((L16+I10)*0.5,1)</f>
        <v>65</v>
      </c>
      <c r="N17" s="4">
        <v>200.0</v>
      </c>
      <c r="O17" s="11">
        <f t="shared" si="1"/>
        <v>8</v>
      </c>
      <c r="Q17" s="2">
        <v>160.0</v>
      </c>
      <c r="R17" s="2">
        <v>10.0</v>
      </c>
      <c r="W17" s="2">
        <v>160.0</v>
      </c>
      <c r="X17" s="2">
        <v>140.0</v>
      </c>
    </row>
    <row r="18">
      <c r="A18" s="2" t="s">
        <v>57</v>
      </c>
      <c r="B18" s="2" t="s">
        <v>3</v>
      </c>
      <c r="C18" s="2"/>
      <c r="H18" s="2" t="s">
        <v>58</v>
      </c>
      <c r="K18" s="19" t="s">
        <v>59</v>
      </c>
      <c r="L18" s="7">
        <f>FLOOR(I13,1)</f>
        <v>68</v>
      </c>
      <c r="N18" s="4">
        <v>229.0</v>
      </c>
      <c r="O18" s="11">
        <f t="shared" si="1"/>
        <v>9</v>
      </c>
      <c r="Q18" s="2">
        <v>190.0</v>
      </c>
      <c r="R18" s="2">
        <v>11.0</v>
      </c>
      <c r="W18" s="2">
        <v>190.0</v>
      </c>
      <c r="X18" s="2">
        <v>160.0</v>
      </c>
    </row>
    <row r="19">
      <c r="A19" s="2" t="s">
        <v>60</v>
      </c>
      <c r="B19" s="2" t="s">
        <v>61</v>
      </c>
      <c r="C19" s="2" t="s">
        <v>62</v>
      </c>
      <c r="D19" s="2" t="s">
        <v>50</v>
      </c>
      <c r="K19" s="19" t="s">
        <v>18</v>
      </c>
      <c r="L19" s="7">
        <f>FLOOR(I13,1)</f>
        <v>68</v>
      </c>
      <c r="N19" s="4">
        <v>258.0</v>
      </c>
      <c r="O19" s="11">
        <f t="shared" si="1"/>
        <v>10</v>
      </c>
      <c r="Q19" s="2">
        <v>220.0</v>
      </c>
      <c r="R19" s="2">
        <v>12.0</v>
      </c>
      <c r="W19" s="2">
        <v>220.0</v>
      </c>
      <c r="X19" s="2">
        <v>180.0</v>
      </c>
    </row>
    <row r="20">
      <c r="A20" s="2" t="s">
        <v>63</v>
      </c>
      <c r="B20" s="2" t="s">
        <v>3</v>
      </c>
      <c r="K20" s="19" t="s">
        <v>23</v>
      </c>
      <c r="L20" s="7">
        <f t="shared" ref="L20:L21" si="2">FLOOR(I13,1)</f>
        <v>68</v>
      </c>
      <c r="N20" s="4">
        <v>286.0</v>
      </c>
      <c r="O20" s="11">
        <f t="shared" si="1"/>
        <v>11</v>
      </c>
      <c r="Q20" s="2">
        <v>250.0</v>
      </c>
      <c r="R20" s="2">
        <v>13.0</v>
      </c>
      <c r="W20" s="2">
        <v>250.0</v>
      </c>
      <c r="X20" s="2">
        <v>200.0</v>
      </c>
    </row>
    <row r="21">
      <c r="A21" s="2" t="s">
        <v>64</v>
      </c>
      <c r="B21" s="2" t="s">
        <v>4</v>
      </c>
      <c r="K21" s="20" t="s">
        <v>65</v>
      </c>
      <c r="L21" s="7">
        <f t="shared" si="2"/>
        <v>0</v>
      </c>
      <c r="N21" s="4">
        <v>315.0</v>
      </c>
      <c r="O21" s="11">
        <f t="shared" si="1"/>
        <v>12</v>
      </c>
      <c r="Q21" s="2">
        <v>280.0</v>
      </c>
      <c r="R21" s="2">
        <v>14.0</v>
      </c>
      <c r="W21" s="2">
        <v>280.0</v>
      </c>
      <c r="X21" s="2">
        <v>220.0</v>
      </c>
    </row>
    <row r="22">
      <c r="A22" s="2" t="s">
        <v>66</v>
      </c>
      <c r="B22" s="2" t="s">
        <v>67</v>
      </c>
      <c r="C22" s="2" t="s">
        <v>11</v>
      </c>
      <c r="D22" s="2" t="s">
        <v>50</v>
      </c>
      <c r="H22" s="1" t="s">
        <v>68</v>
      </c>
      <c r="I22" s="1"/>
      <c r="K22" s="20" t="s">
        <v>69</v>
      </c>
      <c r="L22" s="7">
        <f>FLOOR((I14+L21)*0.5,1)</f>
        <v>0</v>
      </c>
      <c r="N22" s="4">
        <v>343.0</v>
      </c>
      <c r="O22" s="11">
        <f t="shared" si="1"/>
        <v>13</v>
      </c>
      <c r="Q22" s="2">
        <v>310.0</v>
      </c>
      <c r="R22" s="2">
        <v>15.0</v>
      </c>
      <c r="W22" s="2">
        <v>310.0</v>
      </c>
      <c r="X22" s="2">
        <v>240.0</v>
      </c>
    </row>
    <row r="23">
      <c r="A23" s="2" t="s">
        <v>70</v>
      </c>
      <c r="B23" s="2" t="s">
        <v>71</v>
      </c>
      <c r="C23" s="2" t="s">
        <v>4</v>
      </c>
      <c r="D23" s="2" t="s">
        <v>50</v>
      </c>
      <c r="H23" s="21" t="s">
        <v>72</v>
      </c>
      <c r="K23" s="20" t="s">
        <v>73</v>
      </c>
      <c r="L23" s="7">
        <f>FLOOR((L19+I14)*0.5,1)</f>
        <v>34</v>
      </c>
      <c r="N23" s="4">
        <v>372.0</v>
      </c>
      <c r="O23" s="11">
        <f t="shared" si="1"/>
        <v>14</v>
      </c>
      <c r="Q23" s="2">
        <v>340.0</v>
      </c>
      <c r="R23" s="2">
        <v>16.0</v>
      </c>
      <c r="W23" s="2">
        <v>340.0</v>
      </c>
      <c r="X23" s="2">
        <v>260.0</v>
      </c>
    </row>
    <row r="24">
      <c r="A24" s="2" t="s">
        <v>74</v>
      </c>
      <c r="B24" s="2" t="s">
        <v>5</v>
      </c>
      <c r="K24" s="22" t="s">
        <v>75</v>
      </c>
      <c r="L24" s="7">
        <f>FLOOR(I15,1)</f>
        <v>76</v>
      </c>
      <c r="N24" s="4">
        <v>400.0</v>
      </c>
      <c r="O24" s="11">
        <f t="shared" si="1"/>
        <v>15</v>
      </c>
      <c r="Q24" s="2">
        <v>400.0</v>
      </c>
      <c r="R24" s="2">
        <v>20.0</v>
      </c>
      <c r="W24" s="2">
        <v>400.0</v>
      </c>
      <c r="X24" s="2">
        <v>300.0</v>
      </c>
    </row>
    <row r="25">
      <c r="A25" s="2" t="s">
        <v>76</v>
      </c>
      <c r="B25" s="2" t="s">
        <v>77</v>
      </c>
      <c r="C25" s="2" t="s">
        <v>78</v>
      </c>
      <c r="D25" s="2" t="s">
        <v>50</v>
      </c>
      <c r="K25" s="22" t="s">
        <v>79</v>
      </c>
      <c r="L25" s="7">
        <f>FLOOR((I15+L24)*0.5,1)</f>
        <v>76</v>
      </c>
    </row>
    <row r="26">
      <c r="A26" s="2" t="s">
        <v>80</v>
      </c>
      <c r="B26" s="2" t="s">
        <v>81</v>
      </c>
      <c r="C26" s="2" t="s">
        <v>78</v>
      </c>
      <c r="D26" s="2" t="s">
        <v>50</v>
      </c>
      <c r="K26" s="22" t="s">
        <v>82</v>
      </c>
      <c r="L26" s="7">
        <f>FLOOR((L25+L24)*0.5,1)</f>
        <v>76</v>
      </c>
      <c r="W26" s="5" t="s">
        <v>28</v>
      </c>
    </row>
    <row r="27">
      <c r="W27" s="5" t="s">
        <v>83</v>
      </c>
    </row>
    <row r="28">
      <c r="K28" s="5" t="s">
        <v>84</v>
      </c>
      <c r="L28" s="7">
        <f>MAX(1, MIN(15, FLOOR(L14 / (400 / (15 - 1)),1) + 1))</f>
        <v>3</v>
      </c>
      <c r="W28" s="3" t="s">
        <v>85</v>
      </c>
      <c r="X28" s="3" t="s">
        <v>39</v>
      </c>
    </row>
    <row r="29">
      <c r="H29" s="23" t="s">
        <v>86</v>
      </c>
      <c r="I29" s="23" t="s">
        <v>87</v>
      </c>
      <c r="W29" s="2">
        <v>0.0</v>
      </c>
      <c r="X29" s="24">
        <v>0.0</v>
      </c>
    </row>
    <row r="30">
      <c r="A30" s="2" t="s">
        <v>88</v>
      </c>
      <c r="H30" s="25" t="s">
        <v>6</v>
      </c>
      <c r="I30" s="26">
        <v>15.0</v>
      </c>
      <c r="W30" s="2">
        <v>20.0</v>
      </c>
      <c r="X30" s="24">
        <v>0.02</v>
      </c>
    </row>
    <row r="31">
      <c r="A31" s="2" t="s">
        <v>89</v>
      </c>
      <c r="H31" s="25" t="s">
        <v>90</v>
      </c>
      <c r="I31" s="26">
        <v>10.0</v>
      </c>
      <c r="W31" s="2">
        <v>40.0</v>
      </c>
      <c r="X31" s="24">
        <v>0.04</v>
      </c>
    </row>
    <row r="32">
      <c r="A32" s="2" t="s">
        <v>91</v>
      </c>
      <c r="D32" s="2"/>
      <c r="H32" s="27" t="s">
        <v>9</v>
      </c>
      <c r="I32" s="25">
        <f>(I12*U10)</f>
        <v>650</v>
      </c>
      <c r="W32" s="2">
        <v>60.0</v>
      </c>
      <c r="X32" s="24">
        <v>0.06</v>
      </c>
    </row>
    <row r="33">
      <c r="A33" s="2" t="s">
        <v>92</v>
      </c>
      <c r="H33" s="25" t="s">
        <v>93</v>
      </c>
      <c r="I33" s="26">
        <v>25.0</v>
      </c>
      <c r="W33" s="2">
        <v>80.0</v>
      </c>
      <c r="X33" s="24">
        <v>0.08</v>
      </c>
    </row>
    <row r="34">
      <c r="A34" s="2" t="s">
        <v>94</v>
      </c>
      <c r="W34" s="2">
        <v>100.0</v>
      </c>
      <c r="X34" s="24">
        <v>0.2</v>
      </c>
    </row>
    <row r="35">
      <c r="A35" s="2" t="s">
        <v>95</v>
      </c>
      <c r="W35" s="2">
        <v>130.0</v>
      </c>
      <c r="X35" s="24">
        <v>0.22</v>
      </c>
    </row>
    <row r="36">
      <c r="A36" s="2" t="s">
        <v>96</v>
      </c>
      <c r="G36" s="2" t="s">
        <v>97</v>
      </c>
      <c r="W36" s="2">
        <v>160.0</v>
      </c>
      <c r="X36" s="24">
        <v>0.24</v>
      </c>
    </row>
    <row r="37">
      <c r="A37" s="2" t="s">
        <v>98</v>
      </c>
      <c r="G37" s="2" t="s">
        <v>99</v>
      </c>
      <c r="W37" s="2">
        <v>190.0</v>
      </c>
      <c r="X37" s="24">
        <v>0.26</v>
      </c>
    </row>
    <row r="38">
      <c r="G38" s="2" t="s">
        <v>100</v>
      </c>
      <c r="W38" s="2">
        <v>220.0</v>
      </c>
      <c r="X38" s="24">
        <v>0.28</v>
      </c>
    </row>
    <row r="39">
      <c r="D39" s="2"/>
      <c r="W39" s="2">
        <v>250.0</v>
      </c>
      <c r="X39" s="24">
        <v>0.3</v>
      </c>
    </row>
    <row r="40">
      <c r="G40" s="2" t="s">
        <v>101</v>
      </c>
      <c r="W40" s="2">
        <v>280.0</v>
      </c>
      <c r="X40" s="24">
        <v>0.34</v>
      </c>
    </row>
    <row r="41">
      <c r="G41" s="2" t="s">
        <v>102</v>
      </c>
      <c r="W41" s="2">
        <v>310.0</v>
      </c>
      <c r="X41" s="24">
        <v>0.37</v>
      </c>
    </row>
    <row r="42">
      <c r="G42" s="2" t="s">
        <v>103</v>
      </c>
      <c r="W42" s="2">
        <v>340.0</v>
      </c>
      <c r="X42" s="24">
        <v>0.4</v>
      </c>
    </row>
    <row r="43">
      <c r="W43" s="2">
        <v>400.0</v>
      </c>
      <c r="X43" s="24">
        <v>0.5</v>
      </c>
    </row>
    <row r="44">
      <c r="G44" s="2" t="s">
        <v>104</v>
      </c>
    </row>
    <row r="45">
      <c r="G45" s="2" t="s">
        <v>105</v>
      </c>
      <c r="M45" s="28" t="s">
        <v>106</v>
      </c>
    </row>
    <row r="46">
      <c r="G46" s="2" t="s">
        <v>107</v>
      </c>
      <c r="M46" s="25" t="s">
        <v>108</v>
      </c>
      <c r="N46" s="25" t="s">
        <v>109</v>
      </c>
    </row>
    <row r="47">
      <c r="M47" s="26">
        <v>1.0</v>
      </c>
      <c r="N47" s="25" t="s">
        <v>110</v>
      </c>
    </row>
    <row r="48">
      <c r="G48" s="2" t="s">
        <v>111</v>
      </c>
      <c r="M48" s="26">
        <v>2.0</v>
      </c>
      <c r="N48" s="27" t="s">
        <v>112</v>
      </c>
    </row>
    <row r="49">
      <c r="G49" s="2" t="s">
        <v>113</v>
      </c>
      <c r="M49" s="26">
        <v>3.0</v>
      </c>
      <c r="N49" s="25" t="s">
        <v>114</v>
      </c>
    </row>
    <row r="50">
      <c r="G50" s="2" t="s">
        <v>115</v>
      </c>
      <c r="M50" s="26">
        <v>4.0</v>
      </c>
      <c r="N50" s="25" t="s">
        <v>116</v>
      </c>
    </row>
    <row r="51">
      <c r="M51" s="26">
        <v>5.0</v>
      </c>
      <c r="N51" s="25" t="s">
        <v>117</v>
      </c>
    </row>
    <row r="52">
      <c r="G52" s="2" t="s">
        <v>118</v>
      </c>
    </row>
    <row r="53">
      <c r="G53" s="2" t="s">
        <v>119</v>
      </c>
    </row>
    <row r="54">
      <c r="G54" s="2" t="s">
        <v>120</v>
      </c>
    </row>
    <row r="56">
      <c r="G56" s="2" t="s">
        <v>121</v>
      </c>
    </row>
  </sheetData>
  <mergeCells count="25">
    <mergeCell ref="N6:O6"/>
    <mergeCell ref="N7:O7"/>
    <mergeCell ref="Q7:R7"/>
    <mergeCell ref="W7:X7"/>
    <mergeCell ref="N8:O8"/>
    <mergeCell ref="Q8:R8"/>
    <mergeCell ref="W8:X8"/>
    <mergeCell ref="W26:X26"/>
    <mergeCell ref="W27:X27"/>
    <mergeCell ref="G37:I37"/>
    <mergeCell ref="G38:H38"/>
    <mergeCell ref="G41:J41"/>
    <mergeCell ref="G42:H42"/>
    <mergeCell ref="G45:H45"/>
    <mergeCell ref="G52:J52"/>
    <mergeCell ref="G53:J53"/>
    <mergeCell ref="G54:H54"/>
    <mergeCell ref="G56:H56"/>
    <mergeCell ref="M45:N45"/>
    <mergeCell ref="N47:P47"/>
    <mergeCell ref="N48:Q48"/>
    <mergeCell ref="G49:H49"/>
    <mergeCell ref="N49:P49"/>
    <mergeCell ref="N50:P50"/>
    <mergeCell ref="N51:O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